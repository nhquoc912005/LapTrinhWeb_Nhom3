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3360459-0EBC-4D87-813B-9FEE301B2D6B}" xr6:coauthVersionLast="47" xr6:coauthVersionMax="47" xr10:uidLastSave="{00000000-0000-0000-0000-000000000000}"/>
  <bookViews>
    <workbookView xWindow="0" yWindow="0" windowWidth="19200" windowHeight="10080" xr2:uid="{B83C9EAE-F8A3-4525-80DE-5DC2C2FD1BD4}"/>
  </bookViews>
  <sheets>
    <sheet name="Sheet1" sheetId="1" r:id="rId1"/>
  </sheets>
  <definedNames>
    <definedName name="solver_adj" localSheetId="0" hidden="1">Sheet1!$G$4:$G$15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Sheet1!$G$3</definedName>
    <definedName name="solver_lhs2" localSheetId="0" hidden="1">Sheet1!$G$4:$G$15</definedName>
    <definedName name="solver_lhs3" localSheetId="0" hidden="1">Sheet1!$G$4:$G$15</definedName>
    <definedName name="solver_lhs4" localSheetId="0" hidden="1">Sheet1!$K$4:$K$15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Sheet1!$M$18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4</definedName>
    <definedName name="solver_rel3" localSheetId="0" hidden="1">3</definedName>
    <definedName name="solver_rel4" localSheetId="0" hidden="1">1</definedName>
    <definedName name="solver_rhs1" localSheetId="0" hidden="1">Sheet1!$G$15</definedName>
    <definedName name="solver_rhs2" localSheetId="0" hidden="1">"integer"</definedName>
    <definedName name="solver_rhs3" localSheetId="0" hidden="1">0</definedName>
    <definedName name="solver_rhs4" localSheetId="0" hidden="1">Sheet1!$L$4:$L$15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16" i="1"/>
  <c r="Q6" i="1"/>
  <c r="Q7" i="1"/>
  <c r="Q8" i="1"/>
  <c r="Q9" i="1"/>
  <c r="Q10" i="1"/>
  <c r="Q11" i="1"/>
  <c r="Q12" i="1"/>
  <c r="Q13" i="1"/>
  <c r="Q14" i="1"/>
  <c r="Q15" i="1"/>
  <c r="Q4" i="1"/>
  <c r="L5" i="1"/>
  <c r="L6" i="1"/>
  <c r="L7" i="1"/>
  <c r="L8" i="1"/>
  <c r="L9" i="1"/>
  <c r="L10" i="1"/>
  <c r="L11" i="1"/>
  <c r="L12" i="1"/>
  <c r="L13" i="1"/>
  <c r="L14" i="1"/>
  <c r="L15" i="1"/>
  <c r="L4" i="1"/>
  <c r="K15" i="1"/>
  <c r="P15" i="1" s="1"/>
  <c r="K5" i="1"/>
  <c r="P5" i="1" s="1"/>
  <c r="K6" i="1"/>
  <c r="P6" i="1" s="1"/>
  <c r="K7" i="1"/>
  <c r="P7" i="1" s="1"/>
  <c r="K8" i="1"/>
  <c r="P8" i="1" s="1"/>
  <c r="K9" i="1"/>
  <c r="P9" i="1" s="1"/>
  <c r="K10" i="1"/>
  <c r="P10" i="1" s="1"/>
  <c r="K11" i="1"/>
  <c r="P11" i="1" s="1"/>
  <c r="K12" i="1"/>
  <c r="P12" i="1" s="1"/>
  <c r="K13" i="1"/>
  <c r="P13" i="1" s="1"/>
  <c r="K14" i="1"/>
  <c r="P14" i="1" s="1"/>
  <c r="K4" i="1"/>
  <c r="P4" i="1" s="1"/>
  <c r="J5" i="1"/>
  <c r="O5" i="1" s="1"/>
  <c r="J6" i="1"/>
  <c r="O6" i="1" s="1"/>
  <c r="J7" i="1"/>
  <c r="O7" i="1" s="1"/>
  <c r="J8" i="1"/>
  <c r="O8" i="1" s="1"/>
  <c r="J9" i="1"/>
  <c r="O9" i="1" s="1"/>
  <c r="J10" i="1"/>
  <c r="O10" i="1" s="1"/>
  <c r="J11" i="1"/>
  <c r="O11" i="1" s="1"/>
  <c r="J12" i="1"/>
  <c r="O12" i="1" s="1"/>
  <c r="J13" i="1"/>
  <c r="O13" i="1" s="1"/>
  <c r="J14" i="1"/>
  <c r="O14" i="1" s="1"/>
  <c r="J15" i="1"/>
  <c r="O15" i="1" s="1"/>
  <c r="J4" i="1"/>
  <c r="O4" i="1" s="1"/>
  <c r="I5" i="1"/>
  <c r="N5" i="1" s="1"/>
  <c r="I6" i="1"/>
  <c r="N6" i="1" s="1"/>
  <c r="I7" i="1"/>
  <c r="N7" i="1" s="1"/>
  <c r="I8" i="1"/>
  <c r="N8" i="1" s="1"/>
  <c r="I9" i="1"/>
  <c r="N9" i="1" s="1"/>
  <c r="I10" i="1"/>
  <c r="N10" i="1" s="1"/>
  <c r="I11" i="1"/>
  <c r="N11" i="1" s="1"/>
  <c r="I12" i="1"/>
  <c r="N12" i="1" s="1"/>
  <c r="I13" i="1"/>
  <c r="N13" i="1" s="1"/>
  <c r="I14" i="1"/>
  <c r="N14" i="1" s="1"/>
  <c r="I15" i="1"/>
  <c r="N15" i="1" s="1"/>
  <c r="I4" i="1"/>
  <c r="N4" i="1" s="1"/>
  <c r="H5" i="1"/>
  <c r="M5" i="1" s="1"/>
  <c r="H6" i="1"/>
  <c r="M6" i="1" s="1"/>
  <c r="H7" i="1"/>
  <c r="M7" i="1" s="1"/>
  <c r="H8" i="1"/>
  <c r="M8" i="1" s="1"/>
  <c r="H9" i="1"/>
  <c r="M9" i="1" s="1"/>
  <c r="H10" i="1"/>
  <c r="M10" i="1" s="1"/>
  <c r="H11" i="1"/>
  <c r="M11" i="1" s="1"/>
  <c r="H12" i="1"/>
  <c r="M12" i="1" s="1"/>
  <c r="H13" i="1"/>
  <c r="M13" i="1" s="1"/>
  <c r="H14" i="1"/>
  <c r="M14" i="1" s="1"/>
  <c r="H15" i="1"/>
  <c r="M15" i="1" s="1"/>
  <c r="H4" i="1"/>
  <c r="M4" i="1" s="1"/>
  <c r="F5" i="1"/>
  <c r="F6" i="1"/>
  <c r="F7" i="1"/>
  <c r="F8" i="1"/>
  <c r="F9" i="1"/>
  <c r="F10" i="1"/>
  <c r="F11" i="1"/>
  <c r="F12" i="1"/>
  <c r="F13" i="1"/>
  <c r="F14" i="1"/>
  <c r="F15" i="1"/>
  <c r="F4" i="1"/>
  <c r="E14" i="1"/>
  <c r="E12" i="1"/>
  <c r="E15" i="1"/>
  <c r="E5" i="1"/>
  <c r="E6" i="1"/>
  <c r="E7" i="1"/>
  <c r="E8" i="1"/>
  <c r="E9" i="1"/>
  <c r="E10" i="1"/>
  <c r="E11" i="1"/>
  <c r="E13" i="1"/>
  <c r="E4" i="1"/>
  <c r="D5" i="1"/>
  <c r="D6" i="1"/>
  <c r="D7" i="1"/>
  <c r="D8" i="1"/>
  <c r="D9" i="1"/>
  <c r="D10" i="1"/>
  <c r="D11" i="1"/>
  <c r="D12" i="1"/>
  <c r="D13" i="1"/>
  <c r="D14" i="1"/>
  <c r="D4" i="1"/>
  <c r="P16" i="1" l="1"/>
  <c r="O16" i="1"/>
  <c r="M16" i="1"/>
  <c r="N16" i="1"/>
  <c r="L16" i="1"/>
  <c r="M18" i="1" l="1"/>
</calcChain>
</file>

<file path=xl/sharedStrings.xml><?xml version="1.0" encoding="utf-8"?>
<sst xmlns="http://schemas.openxmlformats.org/spreadsheetml/2006/main" count="44" uniqueCount="42">
  <si>
    <t>Thang</t>
  </si>
  <si>
    <t>Nhu cau</t>
  </si>
  <si>
    <t>Ngaysx</t>
  </si>
  <si>
    <t>Imin</t>
  </si>
  <si>
    <t>Mucsx</t>
  </si>
  <si>
    <t>Socncan</t>
  </si>
  <si>
    <t>Socnkh</t>
  </si>
  <si>
    <t>Cntang</t>
  </si>
  <si>
    <t>Cngiam</t>
  </si>
  <si>
    <t>Choviec</t>
  </si>
  <si>
    <t>Themgio</t>
  </si>
  <si>
    <t>ghthemgio</t>
  </si>
  <si>
    <t>Cptăngcn</t>
  </si>
  <si>
    <t>Cpgiảmcn</t>
  </si>
  <si>
    <t>Cpchoviec</t>
  </si>
  <si>
    <t>Cpthemgio</t>
  </si>
  <si>
    <t>Cptonkho</t>
  </si>
  <si>
    <t>định mức lao động</t>
  </si>
  <si>
    <t>lương</t>
  </si>
  <si>
    <t>công nhân đầu kỳ</t>
  </si>
  <si>
    <t>chi phí tăng cn</t>
  </si>
  <si>
    <t>chi phí giảm cn</t>
  </si>
  <si>
    <t>giới hạn tg</t>
  </si>
  <si>
    <t>chi phí thêm giờ</t>
  </si>
  <si>
    <t>chi phí chờ việc</t>
  </si>
  <si>
    <t>chi phí tồn kho</t>
  </si>
  <si>
    <t>tồn kho đầu kỳ 4</t>
  </si>
  <si>
    <t>tồn kho cuối kỳ 3</t>
  </si>
  <si>
    <t>Yêu cầu bài toán</t>
  </si>
  <si>
    <t>h/sp</t>
  </si>
  <si>
    <t>/h</t>
  </si>
  <si>
    <t>tồn kho theo tuyến tính</t>
  </si>
  <si>
    <t>tồn kho tối thiểu bằng 25%nhu cầu của tháng tiếp theo</t>
  </si>
  <si>
    <t>tồn kho tháng số 4 bằng 25% tháng thứ 5</t>
  </si>
  <si>
    <t xml:space="preserve">Thực hiện sản xuất đáp ứng nhu cầu bằng phương pháp kết hợp thêm giờ chờ việc sao cho chi phí thực hiện là thấp nhất </t>
  </si>
  <si>
    <t>(tăng cn, giảm cn, thêm giờ, chờ việc)</t>
  </si>
  <si>
    <t>mức sx = tổng mức mà chúng ta cần trừ cho phần chúng ta có (có ở đây là tồn kho đầy kỳ)</t>
  </si>
  <si>
    <t xml:space="preserve">socncan = toàn bộ mức sx * định mức --&gt; ra tổng tg cần --&gt; sau đó lấy tổng tg cần / tg có ==&gt; ra số cn cần phải thuê </t>
  </si>
  <si>
    <t>tgco = ngaysx*8</t>
  </si>
  <si>
    <t>mucsx là số lượng sản phẩm doanh nghiệp cần tạo ra trong 1 khoảng thời gian nhất định để thỏa mãn nhu cầu khách hàng và duy trì lượng tồn kho dự trữ</t>
  </si>
  <si>
    <t>Mức sản xuất = nhu cầu + tồn kho tối thiểu tháng này - tồn kho tối thiểu tháng trước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</si>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</sst>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997E-4F3F-4DB8-B9A4-CD66E4425495}">
  <dimension ref="A1:Q36"/>
  <sheetViews>
    <sheetView tabSelected="1" topLeftCell="E1" zoomScale="121" zoomScaleNormal="160" workbookViewId="0">
      <selection activeCell="I18" sqref="I18"/>
    </sheetView>
  </sheetViews>
  <sheetFormatPr defaultRowHeight="14.5" x14ac:dyDescent="0.35"/>
  <cols>
    <col min="7" max="7" width="15" customWidth="1"/>
    <col min="11" max="11" width="32.36328125" customWidth="1"/>
    <col min="12" max="12" width="26.26953125" customWidth="1"/>
    <col min="13" max="13" width="15.453125" customWidth="1"/>
    <col min="14" max="14" width="13.08984375" customWidth="1"/>
    <col min="15" max="15" width="14.81640625" customWidth="1"/>
    <col min="16" max="16" width="13.54296875" customWidth="1"/>
    <col min="17" max="17" width="17.36328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1</v>
      </c>
      <c r="B2" s="1">
        <v>2</v>
      </c>
      <c r="C2" s="1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</row>
    <row r="3" spans="1:17" x14ac:dyDescent="0.35">
      <c r="A3" s="1"/>
      <c r="B3" s="1"/>
      <c r="C3" s="1"/>
      <c r="D3" s="4">
        <v>450</v>
      </c>
      <c r="G3">
        <v>285</v>
      </c>
    </row>
    <row r="4" spans="1:17" x14ac:dyDescent="0.35">
      <c r="A4" s="1">
        <v>4</v>
      </c>
      <c r="B4" s="1">
        <v>1800</v>
      </c>
      <c r="C4" s="1">
        <v>24</v>
      </c>
      <c r="D4">
        <f>$C$29*B5</f>
        <v>375</v>
      </c>
      <c r="E4">
        <f>B4+D4-D3</f>
        <v>1725</v>
      </c>
      <c r="F4">
        <f>ROUNDUP(E4*$C$20/(C4*8),0)</f>
        <v>225</v>
      </c>
      <c r="G4">
        <v>0</v>
      </c>
      <c r="H4">
        <f>IF(G4&gt;G3, G4-G3,0)</f>
        <v>0</v>
      </c>
      <c r="I4">
        <f>IF(G4&lt;G3, G3-G4,0)</f>
        <v>285</v>
      </c>
      <c r="J4">
        <f>IF(G4&gt;F4, G4-F4,0)</f>
        <v>0</v>
      </c>
      <c r="K4">
        <f>IF(G4&lt;F4,F4-G4,0)</f>
        <v>225</v>
      </c>
      <c r="L4">
        <f>$C$25*G4</f>
        <v>0</v>
      </c>
      <c r="M4">
        <f>$C$23*H4</f>
        <v>0</v>
      </c>
      <c r="N4">
        <f>$C$24*I4</f>
        <v>142500000</v>
      </c>
      <c r="O4">
        <f>J4*$C$27*C4*8*$C$21</f>
        <v>0</v>
      </c>
      <c r="P4">
        <f>K4*$C$21*($C$26-1)*C4*8</f>
        <v>54000000</v>
      </c>
      <c r="Q4">
        <f>(((D3+D4)/2)*$C$28)</f>
        <v>6435000</v>
      </c>
    </row>
    <row r="5" spans="1:17" x14ac:dyDescent="0.35">
      <c r="A5" s="1">
        <v>5</v>
      </c>
      <c r="B5" s="1">
        <v>1500</v>
      </c>
      <c r="C5" s="1">
        <v>22</v>
      </c>
      <c r="D5">
        <f t="shared" ref="D5:D14" si="0">$C$29*B6</f>
        <v>300</v>
      </c>
      <c r="E5">
        <f t="shared" ref="E5:E13" si="1">B5+D5-D4</f>
        <v>1425</v>
      </c>
      <c r="F5">
        <f t="shared" ref="F5:F15" si="2">ROUNDUP(E5*$C$20/(C5*8),0)</f>
        <v>203</v>
      </c>
      <c r="G5">
        <v>0</v>
      </c>
      <c r="H5">
        <f t="shared" ref="H5:H15" si="3">IF(G5&gt;G4, G5-G4,0)</f>
        <v>0</v>
      </c>
      <c r="I5">
        <f t="shared" ref="I5:I15" si="4">IF(G5&lt;G4, G4-G5,0)</f>
        <v>0</v>
      </c>
      <c r="J5">
        <f t="shared" ref="J5:J15" si="5">IF(G5&gt;F5, G5-F5,0)</f>
        <v>0</v>
      </c>
      <c r="K5">
        <f t="shared" ref="K5:K15" si="6">IF(G5&lt;F5,F5-G5,0)</f>
        <v>203</v>
      </c>
      <c r="L5">
        <f t="shared" ref="L5:L15" si="7">$C$25*G5</f>
        <v>0</v>
      </c>
      <c r="M5">
        <f t="shared" ref="M5:M15" si="8">$C$23*H5</f>
        <v>0</v>
      </c>
      <c r="N5">
        <f t="shared" ref="N5:N15" si="9">$C$24*I5</f>
        <v>0</v>
      </c>
      <c r="O5">
        <f t="shared" ref="O5:O15" si="10">J5*$C$27*C5*8*$C$21</f>
        <v>0</v>
      </c>
      <c r="P5">
        <f t="shared" ref="P5:P15" si="11">K5*$C$21*($C$26-1)*C5*8</f>
        <v>44660000</v>
      </c>
      <c r="Q5">
        <f>(((D4+D5)/2)*$C$28)</f>
        <v>5265000</v>
      </c>
    </row>
    <row r="6" spans="1:17" x14ac:dyDescent="0.35">
      <c r="A6" s="1">
        <v>6</v>
      </c>
      <c r="B6" s="1">
        <v>1200</v>
      </c>
      <c r="C6" s="1">
        <v>23</v>
      </c>
      <c r="D6">
        <f t="shared" si="0"/>
        <v>400</v>
      </c>
      <c r="E6">
        <f t="shared" si="1"/>
        <v>1300</v>
      </c>
      <c r="F6">
        <f t="shared" si="2"/>
        <v>177</v>
      </c>
      <c r="G6">
        <v>0</v>
      </c>
      <c r="H6">
        <f t="shared" si="3"/>
        <v>0</v>
      </c>
      <c r="I6">
        <f t="shared" si="4"/>
        <v>0</v>
      </c>
      <c r="J6">
        <f t="shared" si="5"/>
        <v>0</v>
      </c>
      <c r="K6">
        <f t="shared" si="6"/>
        <v>177</v>
      </c>
      <c r="L6">
        <f t="shared" si="7"/>
        <v>0</v>
      </c>
      <c r="M6">
        <f t="shared" si="8"/>
        <v>0</v>
      </c>
      <c r="N6">
        <f t="shared" si="9"/>
        <v>0</v>
      </c>
      <c r="O6">
        <f t="shared" si="10"/>
        <v>0</v>
      </c>
      <c r="P6">
        <f t="shared" si="11"/>
        <v>40710000</v>
      </c>
      <c r="Q6">
        <f t="shared" ref="Q6:Q15" si="12">(((D5+D6)/2)*$C$28)</f>
        <v>5460000</v>
      </c>
    </row>
    <row r="7" spans="1:17" x14ac:dyDescent="0.35">
      <c r="A7" s="1">
        <v>7</v>
      </c>
      <c r="B7" s="1">
        <v>1600</v>
      </c>
      <c r="C7" s="1">
        <v>25</v>
      </c>
      <c r="D7">
        <f t="shared" si="0"/>
        <v>500</v>
      </c>
      <c r="E7">
        <f t="shared" si="1"/>
        <v>1700</v>
      </c>
      <c r="F7">
        <f t="shared" si="2"/>
        <v>213</v>
      </c>
      <c r="G7">
        <v>0</v>
      </c>
      <c r="H7">
        <f t="shared" si="3"/>
        <v>0</v>
      </c>
      <c r="I7">
        <f t="shared" si="4"/>
        <v>0</v>
      </c>
      <c r="J7">
        <f t="shared" si="5"/>
        <v>0</v>
      </c>
      <c r="K7">
        <f t="shared" si="6"/>
        <v>213</v>
      </c>
      <c r="L7">
        <f t="shared" si="7"/>
        <v>0</v>
      </c>
      <c r="M7">
        <f t="shared" si="8"/>
        <v>0</v>
      </c>
      <c r="N7">
        <f t="shared" si="9"/>
        <v>0</v>
      </c>
      <c r="O7">
        <f t="shared" si="10"/>
        <v>0</v>
      </c>
      <c r="P7">
        <f t="shared" si="11"/>
        <v>53250000</v>
      </c>
      <c r="Q7">
        <f t="shared" si="12"/>
        <v>7020000</v>
      </c>
    </row>
    <row r="8" spans="1:17" x14ac:dyDescent="0.35">
      <c r="A8" s="1">
        <v>8</v>
      </c>
      <c r="B8" s="1">
        <v>2000</v>
      </c>
      <c r="C8" s="1">
        <v>25</v>
      </c>
      <c r="D8">
        <f t="shared" si="0"/>
        <v>525</v>
      </c>
      <c r="E8">
        <f t="shared" si="1"/>
        <v>2025</v>
      </c>
      <c r="F8">
        <f t="shared" si="2"/>
        <v>254</v>
      </c>
      <c r="G8">
        <v>0</v>
      </c>
      <c r="H8">
        <f t="shared" si="3"/>
        <v>0</v>
      </c>
      <c r="I8">
        <f t="shared" si="4"/>
        <v>0</v>
      </c>
      <c r="J8">
        <f t="shared" si="5"/>
        <v>0</v>
      </c>
      <c r="K8">
        <f t="shared" si="6"/>
        <v>254</v>
      </c>
      <c r="L8">
        <f t="shared" si="7"/>
        <v>0</v>
      </c>
      <c r="M8">
        <f t="shared" si="8"/>
        <v>0</v>
      </c>
      <c r="N8">
        <f t="shared" si="9"/>
        <v>0</v>
      </c>
      <c r="O8">
        <f t="shared" si="10"/>
        <v>0</v>
      </c>
      <c r="P8">
        <f t="shared" si="11"/>
        <v>63500000</v>
      </c>
      <c r="Q8">
        <f t="shared" si="12"/>
        <v>7995000</v>
      </c>
    </row>
    <row r="9" spans="1:17" x14ac:dyDescent="0.35">
      <c r="A9" s="1">
        <v>9</v>
      </c>
      <c r="B9" s="1">
        <v>2100</v>
      </c>
      <c r="C9" s="1">
        <v>24</v>
      </c>
      <c r="D9">
        <f t="shared" si="0"/>
        <v>700</v>
      </c>
      <c r="E9">
        <f t="shared" si="1"/>
        <v>2275</v>
      </c>
      <c r="F9">
        <f t="shared" si="2"/>
        <v>297</v>
      </c>
      <c r="G9">
        <v>0</v>
      </c>
      <c r="H9">
        <f t="shared" si="3"/>
        <v>0</v>
      </c>
      <c r="I9">
        <f t="shared" si="4"/>
        <v>0</v>
      </c>
      <c r="J9">
        <f t="shared" si="5"/>
        <v>0</v>
      </c>
      <c r="K9">
        <f t="shared" si="6"/>
        <v>297</v>
      </c>
      <c r="L9">
        <f t="shared" si="7"/>
        <v>0</v>
      </c>
      <c r="M9">
        <f t="shared" si="8"/>
        <v>0</v>
      </c>
      <c r="N9">
        <f t="shared" si="9"/>
        <v>0</v>
      </c>
      <c r="O9">
        <f t="shared" si="10"/>
        <v>0</v>
      </c>
      <c r="P9">
        <f t="shared" si="11"/>
        <v>71280000</v>
      </c>
      <c r="Q9">
        <f t="shared" si="12"/>
        <v>9555000</v>
      </c>
    </row>
    <row r="10" spans="1:17" x14ac:dyDescent="0.35">
      <c r="A10" s="1">
        <v>10</v>
      </c>
      <c r="B10" s="1">
        <v>2800</v>
      </c>
      <c r="C10" s="1">
        <v>25</v>
      </c>
      <c r="D10">
        <f t="shared" si="0"/>
        <v>850</v>
      </c>
      <c r="E10">
        <f t="shared" si="1"/>
        <v>2950</v>
      </c>
      <c r="F10">
        <f t="shared" si="2"/>
        <v>369</v>
      </c>
      <c r="G10">
        <v>0</v>
      </c>
      <c r="H10">
        <f t="shared" si="3"/>
        <v>0</v>
      </c>
      <c r="I10">
        <f t="shared" si="4"/>
        <v>0</v>
      </c>
      <c r="J10">
        <f t="shared" si="5"/>
        <v>0</v>
      </c>
      <c r="K10">
        <f t="shared" si="6"/>
        <v>369</v>
      </c>
      <c r="L10">
        <f t="shared" si="7"/>
        <v>0</v>
      </c>
      <c r="M10">
        <f t="shared" si="8"/>
        <v>0</v>
      </c>
      <c r="N10">
        <f t="shared" si="9"/>
        <v>0</v>
      </c>
      <c r="O10">
        <f t="shared" si="10"/>
        <v>0</v>
      </c>
      <c r="P10">
        <f t="shared" si="11"/>
        <v>92250000</v>
      </c>
      <c r="Q10">
        <f t="shared" si="12"/>
        <v>12090000</v>
      </c>
    </row>
    <row r="11" spans="1:17" x14ac:dyDescent="0.35">
      <c r="A11" s="1">
        <v>11</v>
      </c>
      <c r="B11" s="1">
        <v>3400</v>
      </c>
      <c r="C11" s="1">
        <v>25</v>
      </c>
      <c r="D11">
        <f t="shared" si="0"/>
        <v>850</v>
      </c>
      <c r="E11">
        <f t="shared" si="1"/>
        <v>3400</v>
      </c>
      <c r="F11">
        <f t="shared" si="2"/>
        <v>425</v>
      </c>
      <c r="G11">
        <v>0</v>
      </c>
      <c r="H11">
        <f t="shared" si="3"/>
        <v>0</v>
      </c>
      <c r="I11">
        <f t="shared" si="4"/>
        <v>0</v>
      </c>
      <c r="J11">
        <f t="shared" si="5"/>
        <v>0</v>
      </c>
      <c r="K11">
        <f t="shared" si="6"/>
        <v>425</v>
      </c>
      <c r="L11">
        <f t="shared" si="7"/>
        <v>0</v>
      </c>
      <c r="M11">
        <f t="shared" si="8"/>
        <v>0</v>
      </c>
      <c r="N11">
        <f t="shared" si="9"/>
        <v>0</v>
      </c>
      <c r="O11">
        <f t="shared" si="10"/>
        <v>0</v>
      </c>
      <c r="P11">
        <f>K11*$C$21*($C$26-1)*C11*8</f>
        <v>106250000</v>
      </c>
      <c r="Q11">
        <f t="shared" si="12"/>
        <v>13260000</v>
      </c>
    </row>
    <row r="12" spans="1:17" x14ac:dyDescent="0.35">
      <c r="A12" s="1">
        <v>12</v>
      </c>
      <c r="B12" s="1">
        <v>3400</v>
      </c>
      <c r="C12" s="1">
        <v>24</v>
      </c>
      <c r="D12">
        <f t="shared" si="0"/>
        <v>750</v>
      </c>
      <c r="E12">
        <f>B12+D12-D11</f>
        <v>3300</v>
      </c>
      <c r="F12">
        <f t="shared" si="2"/>
        <v>430</v>
      </c>
      <c r="G12">
        <v>0</v>
      </c>
      <c r="H12">
        <f t="shared" si="3"/>
        <v>0</v>
      </c>
      <c r="I12">
        <f t="shared" si="4"/>
        <v>0</v>
      </c>
      <c r="J12">
        <f t="shared" si="5"/>
        <v>0</v>
      </c>
      <c r="K12">
        <f t="shared" si="6"/>
        <v>430</v>
      </c>
      <c r="L12">
        <f t="shared" si="7"/>
        <v>0</v>
      </c>
      <c r="M12">
        <f t="shared" si="8"/>
        <v>0</v>
      </c>
      <c r="N12">
        <f t="shared" si="9"/>
        <v>0</v>
      </c>
      <c r="O12">
        <f t="shared" si="10"/>
        <v>0</v>
      </c>
      <c r="P12">
        <f t="shared" si="11"/>
        <v>103200000</v>
      </c>
      <c r="Q12">
        <f t="shared" si="12"/>
        <v>12480000</v>
      </c>
    </row>
    <row r="13" spans="1:17" x14ac:dyDescent="0.35">
      <c r="A13" s="1">
        <v>1</v>
      </c>
      <c r="B13" s="1">
        <v>3000</v>
      </c>
      <c r="C13" s="1">
        <v>22</v>
      </c>
      <c r="D13">
        <f t="shared" si="0"/>
        <v>650</v>
      </c>
      <c r="E13">
        <f t="shared" si="1"/>
        <v>2900</v>
      </c>
      <c r="F13">
        <f t="shared" si="2"/>
        <v>412</v>
      </c>
      <c r="G13">
        <v>0</v>
      </c>
      <c r="H13">
        <f t="shared" si="3"/>
        <v>0</v>
      </c>
      <c r="I13">
        <f t="shared" si="4"/>
        <v>0</v>
      </c>
      <c r="J13">
        <f t="shared" si="5"/>
        <v>0</v>
      </c>
      <c r="K13">
        <f t="shared" si="6"/>
        <v>412</v>
      </c>
      <c r="L13">
        <f t="shared" si="7"/>
        <v>0</v>
      </c>
      <c r="M13">
        <f t="shared" si="8"/>
        <v>0</v>
      </c>
      <c r="N13">
        <f t="shared" si="9"/>
        <v>0</v>
      </c>
      <c r="O13">
        <f t="shared" si="10"/>
        <v>0</v>
      </c>
      <c r="P13">
        <f t="shared" si="11"/>
        <v>90640000</v>
      </c>
      <c r="Q13">
        <f t="shared" si="12"/>
        <v>10920000</v>
      </c>
    </row>
    <row r="14" spans="1:17" x14ac:dyDescent="0.35">
      <c r="A14" s="1">
        <v>2</v>
      </c>
      <c r="B14" s="1">
        <v>2600</v>
      </c>
      <c r="C14" s="1">
        <v>24</v>
      </c>
      <c r="D14">
        <f t="shared" si="0"/>
        <v>500</v>
      </c>
      <c r="E14">
        <f>B14+D14-D13</f>
        <v>2450</v>
      </c>
      <c r="F14">
        <f t="shared" si="2"/>
        <v>320</v>
      </c>
      <c r="G14">
        <v>0</v>
      </c>
      <c r="H14">
        <f t="shared" si="3"/>
        <v>0</v>
      </c>
      <c r="I14">
        <f t="shared" si="4"/>
        <v>0</v>
      </c>
      <c r="J14">
        <f t="shared" si="5"/>
        <v>0</v>
      </c>
      <c r="K14">
        <f t="shared" si="6"/>
        <v>320</v>
      </c>
      <c r="L14">
        <f t="shared" si="7"/>
        <v>0</v>
      </c>
      <c r="M14">
        <f>$C$23*H14</f>
        <v>0</v>
      </c>
      <c r="N14">
        <f t="shared" si="9"/>
        <v>0</v>
      </c>
      <c r="O14">
        <f t="shared" si="10"/>
        <v>0</v>
      </c>
      <c r="P14">
        <f t="shared" si="11"/>
        <v>76800000</v>
      </c>
      <c r="Q14">
        <f t="shared" si="12"/>
        <v>8970000</v>
      </c>
    </row>
    <row r="15" spans="1:17" x14ac:dyDescent="0.35">
      <c r="A15" s="1">
        <v>3</v>
      </c>
      <c r="B15" s="1">
        <v>2000</v>
      </c>
      <c r="C15" s="1">
        <v>22</v>
      </c>
      <c r="D15" s="3">
        <v>500</v>
      </c>
      <c r="E15">
        <f>B15+D15-D14</f>
        <v>2000</v>
      </c>
      <c r="F15">
        <f t="shared" si="2"/>
        <v>285</v>
      </c>
      <c r="G15">
        <v>0</v>
      </c>
      <c r="H15">
        <f t="shared" si="3"/>
        <v>0</v>
      </c>
      <c r="I15">
        <f t="shared" si="4"/>
        <v>0</v>
      </c>
      <c r="J15">
        <f t="shared" si="5"/>
        <v>0</v>
      </c>
      <c r="K15">
        <f t="shared" si="6"/>
        <v>285</v>
      </c>
      <c r="L15">
        <f t="shared" si="7"/>
        <v>0</v>
      </c>
      <c r="M15">
        <f t="shared" si="8"/>
        <v>0</v>
      </c>
      <c r="N15">
        <f t="shared" si="9"/>
        <v>0</v>
      </c>
      <c r="O15">
        <f t="shared" si="10"/>
        <v>0</v>
      </c>
      <c r="P15">
        <f t="shared" si="11"/>
        <v>62700000</v>
      </c>
      <c r="Q15">
        <f t="shared" si="12"/>
        <v>7800000</v>
      </c>
    </row>
    <row r="16" spans="1:17" x14ac:dyDescent="0.35">
      <c r="L16">
        <f>SUM(L3:L15)</f>
        <v>0</v>
      </c>
      <c r="M16">
        <f>SUM(M4:M15)</f>
        <v>0</v>
      </c>
      <c r="N16">
        <f>SUM(N4:N15)</f>
        <v>142500000</v>
      </c>
      <c r="O16">
        <f>SUM(O4:O15)</f>
        <v>0</v>
      </c>
      <c r="P16">
        <f>SUM(P4:P15)</f>
        <v>859240000</v>
      </c>
      <c r="Q16">
        <f>SUM(Q4:Q15)</f>
        <v>107250000</v>
      </c>
    </row>
    <row r="18" spans="1:13" x14ac:dyDescent="0.35">
      <c r="L18" t="s">
        <v>41</v>
      </c>
      <c r="M18">
        <f>SUM(M16:Q16)</f>
        <v>1108990000</v>
      </c>
    </row>
    <row r="20" spans="1:13" x14ac:dyDescent="0.35">
      <c r="A20" t="s">
        <v>17</v>
      </c>
      <c r="C20">
        <v>25</v>
      </c>
      <c r="D20" t="s">
        <v>29</v>
      </c>
      <c r="F20" t="s">
        <v>28</v>
      </c>
    </row>
    <row r="21" spans="1:13" x14ac:dyDescent="0.35">
      <c r="A21" t="s">
        <v>18</v>
      </c>
      <c r="C21">
        <v>2500</v>
      </c>
      <c r="D21" t="s">
        <v>30</v>
      </c>
      <c r="E21" t="s">
        <v>34</v>
      </c>
    </row>
    <row r="22" spans="1:13" x14ac:dyDescent="0.35">
      <c r="A22" t="s">
        <v>19</v>
      </c>
      <c r="C22">
        <v>285</v>
      </c>
      <c r="E22" t="s">
        <v>35</v>
      </c>
    </row>
    <row r="23" spans="1:13" x14ac:dyDescent="0.35">
      <c r="A23" t="s">
        <v>20</v>
      </c>
      <c r="C23">
        <v>800000</v>
      </c>
    </row>
    <row r="24" spans="1:13" x14ac:dyDescent="0.35">
      <c r="A24" t="s">
        <v>21</v>
      </c>
      <c r="C24">
        <v>500000</v>
      </c>
    </row>
    <row r="25" spans="1:13" x14ac:dyDescent="0.35">
      <c r="A25" t="s">
        <v>22</v>
      </c>
      <c r="C25">
        <v>0.25</v>
      </c>
    </row>
    <row r="26" spans="1:13" x14ac:dyDescent="0.35">
      <c r="A26" t="s">
        <v>23</v>
      </c>
      <c r="C26">
        <v>1.5</v>
      </c>
    </row>
    <row r="27" spans="1:13" x14ac:dyDescent="0.35">
      <c r="A27" t="s">
        <v>24</v>
      </c>
      <c r="C27">
        <v>0.7</v>
      </c>
    </row>
    <row r="28" spans="1:13" x14ac:dyDescent="0.35">
      <c r="A28" t="s">
        <v>25</v>
      </c>
      <c r="C28">
        <v>15600</v>
      </c>
      <c r="D28" t="s">
        <v>31</v>
      </c>
    </row>
    <row r="29" spans="1:13" x14ac:dyDescent="0.35">
      <c r="A29" t="s">
        <v>3</v>
      </c>
      <c r="C29">
        <v>0.25</v>
      </c>
      <c r="D29" t="s">
        <v>32</v>
      </c>
      <c r="J29" t="s">
        <v>33</v>
      </c>
    </row>
    <row r="30" spans="1:13" x14ac:dyDescent="0.35">
      <c r="A30" t="s">
        <v>26</v>
      </c>
      <c r="C30">
        <v>450</v>
      </c>
    </row>
    <row r="31" spans="1:13" x14ac:dyDescent="0.35">
      <c r="A31" t="s">
        <v>27</v>
      </c>
      <c r="C31">
        <v>500</v>
      </c>
    </row>
    <row r="32" spans="1:13" ht="72.5" x14ac:dyDescent="0.35">
      <c r="K32" s="5" t="s">
        <v>39</v>
      </c>
      <c r="L32" s="6" t="s">
        <v>40</v>
      </c>
    </row>
    <row r="33" spans="2:2" x14ac:dyDescent="0.35">
      <c r="B33" t="s">
        <v>39</v>
      </c>
    </row>
    <row r="34" spans="2:2" x14ac:dyDescent="0.35">
      <c r="B34" t="s">
        <v>36</v>
      </c>
    </row>
    <row r="35" spans="2:2" x14ac:dyDescent="0.35">
      <c r="B35" t="s">
        <v>37</v>
      </c>
    </row>
    <row r="36" spans="2:2" x14ac:dyDescent="0.35">
      <c r="B3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Thao Phan</cp:lastModifiedBy>
  <dcterms:created xsi:type="dcterms:W3CDTF">2026-01-15T05:40:46Z</dcterms:created>
  <dcterms:modified xsi:type="dcterms:W3CDTF">2026-01-17T17:08:30Z</dcterms:modified>
</cp:coreProperties>
</file>